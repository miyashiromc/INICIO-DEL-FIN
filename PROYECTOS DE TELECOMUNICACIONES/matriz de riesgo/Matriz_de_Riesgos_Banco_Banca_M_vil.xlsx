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kmcm\AA Miyako\AA UTEQ\10 SEMESTRE\PROYECTOS DE TELECOMUNICACIONES\matriz de riesgo\"/>
    </mc:Choice>
  </mc:AlternateContent>
  <xr:revisionPtr revIDLastSave="0" documentId="13_ncr:1_{DA7A0CAE-23DA-4EB2-86B0-D8C5BA050F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V13" i="1"/>
  <c r="V14" i="1"/>
  <c r="V3" i="1"/>
</calcChain>
</file>

<file path=xl/sharedStrings.xml><?xml version="1.0" encoding="utf-8"?>
<sst xmlns="http://schemas.openxmlformats.org/spreadsheetml/2006/main" count="296" uniqueCount="177">
  <si>
    <t>ID</t>
  </si>
  <si>
    <t>FECHA DE REGISTRO</t>
  </si>
  <si>
    <t>RIESGO / EVENTO</t>
  </si>
  <si>
    <t>Potencial Consecuencia</t>
  </si>
  <si>
    <t>Línea de Negocio</t>
  </si>
  <si>
    <t>Macro Proceso</t>
  </si>
  <si>
    <t>Proceso</t>
  </si>
  <si>
    <t>Subproceso</t>
  </si>
  <si>
    <t>Tipo de evento</t>
  </si>
  <si>
    <t>Factor de riesgo</t>
  </si>
  <si>
    <t>Fallas o insuficiencias</t>
  </si>
  <si>
    <t>Subtipo de Riesgo</t>
  </si>
  <si>
    <t>C</t>
  </si>
  <si>
    <t>I</t>
  </si>
  <si>
    <t>D</t>
  </si>
  <si>
    <t>IMP</t>
  </si>
  <si>
    <t>PROBABILIDAD DE OCURRENCIA inicial</t>
  </si>
  <si>
    <t>RIESGO INHERENTE inicial</t>
  </si>
  <si>
    <t>CONTROLES existentes</t>
  </si>
  <si>
    <t>EFECTIVIDAD</t>
  </si>
  <si>
    <t>PROMEDIO</t>
  </si>
  <si>
    <t>RIESGO NETO O RESIDUAL INICIAL</t>
  </si>
  <si>
    <t>TRATAMIENTO / RESPUESTA</t>
  </si>
  <si>
    <t>Planes de mitigación</t>
  </si>
  <si>
    <t>Fecha Final</t>
  </si>
  <si>
    <t>PRESUPUESTO (cuando aplique)</t>
  </si>
  <si>
    <t>LIMITACIONES / SUPUESTOS</t>
  </si>
  <si>
    <t>RESPONSABLE (¿Quién?)</t>
  </si>
  <si>
    <t>Grado de Cumplimiento del plan</t>
  </si>
  <si>
    <t>RIESGO NETO O RESIDUAL FINAL</t>
  </si>
  <si>
    <t>COMENTARIOS / OBSERVACIONES</t>
  </si>
  <si>
    <t>ID-001</t>
  </si>
  <si>
    <t>Acceso no autorizado a sistemas bancarios móviles</t>
  </si>
  <si>
    <t>Pérdida de fondos y datos confidenciales, sanciones legales y pérdida de confianza de los clientes.</t>
  </si>
  <si>
    <t>BANCA ELECTRÓNICA</t>
  </si>
  <si>
    <t>Gestión de Seguridad</t>
  </si>
  <si>
    <t>Administración de Seguridad de la Información</t>
  </si>
  <si>
    <t>Gestión de Accesos</t>
  </si>
  <si>
    <t>Tecnológico</t>
  </si>
  <si>
    <t>Tecnologías de la Información</t>
  </si>
  <si>
    <t>Incumplimiento de normativa</t>
  </si>
  <si>
    <t>Restricción de acceso a la plataforma móvil, solo para administradores.</t>
  </si>
  <si>
    <t>Mitigar</t>
  </si>
  <si>
    <t>Implementar MFA y monitoreo continuo de accesos y actividades sospechosas.</t>
  </si>
  <si>
    <t>$50,000.00</t>
  </si>
  <si>
    <t>Ninguna</t>
  </si>
  <si>
    <t>Gerencia de TI</t>
  </si>
  <si>
    <t>80% en los 6 primeros meses</t>
  </si>
  <si>
    <t>ISO 27001 A.9.1.2 / A.9.4.1</t>
  </si>
  <si>
    <t>ID-002</t>
  </si>
  <si>
    <t>Ataques de phishing dirigidos a usuarios bancarios</t>
  </si>
  <si>
    <t>Robo de datos sensibles de clientes, pérdidas financieras y daño a la reputación.</t>
  </si>
  <si>
    <t>Concientización y Educación al Cliente</t>
  </si>
  <si>
    <t>Capacitación continua</t>
  </si>
  <si>
    <t>Falta de educación continua en seguridad</t>
  </si>
  <si>
    <t>B</t>
  </si>
  <si>
    <t>Campañas periódicas de concientización sobre phishing.</t>
  </si>
  <si>
    <t>Tratar</t>
  </si>
  <si>
    <t>Mejorar programas de capacitación y simulacros de phishing.</t>
  </si>
  <si>
    <t>$5,000.00</t>
  </si>
  <si>
    <t>Recursos limitados</t>
  </si>
  <si>
    <t>Gerencia de Seguridad</t>
  </si>
  <si>
    <t>75% en los 3 primeros meses</t>
  </si>
  <si>
    <t>LOPDP Art. 39</t>
  </si>
  <si>
    <t>ID-003</t>
  </si>
  <si>
    <t>Vulnerabilidad en la app móvil</t>
  </si>
  <si>
    <t>Exposición de datos sensibles de clientes, perdida de integridad de las transacciones.</t>
  </si>
  <si>
    <t>Gestión de Tecnología</t>
  </si>
  <si>
    <t>Seguridad en la Aplicación</t>
  </si>
  <si>
    <t>Evaluación de vulnerabilidades</t>
  </si>
  <si>
    <t>No realización de pruebas de penetración regulares</t>
  </si>
  <si>
    <t>Parches regulares en el código de la app.</t>
  </si>
  <si>
    <t>Implementar pruebas de penetración continuas y auditorías.</t>
  </si>
  <si>
    <t>1/10/2025</t>
  </si>
  <si>
    <t>$20,000.00</t>
  </si>
  <si>
    <t>Requiere tiempo de desarrollo</t>
  </si>
  <si>
    <t>Gerencia de Tecnología</t>
  </si>
  <si>
    <t>85% en los 6 primeros meses</t>
  </si>
  <si>
    <t>ISO 27001 A.12.6.1</t>
  </si>
  <si>
    <t>ID-004</t>
  </si>
  <si>
    <t>Pérdida de dispositivos móviles con información crítica</t>
  </si>
  <si>
    <t>Acceso no autorizado a cuentas bancarias, robo de datos sensibles.</t>
  </si>
  <si>
    <t>Protección de Datos</t>
  </si>
  <si>
    <t>Gestión de dispositivos móviles</t>
  </si>
  <si>
    <t>Falta de control de seguridad en dispositivos personales</t>
  </si>
  <si>
    <t>Cifrado de dispositivos móviles.</t>
  </si>
  <si>
    <t>Implementar políticas de gestión de dispositivos móviles y bloqueo remoto.</t>
  </si>
  <si>
    <t>$30,000.00</t>
  </si>
  <si>
    <t>Costos adicionales por implementación</t>
  </si>
  <si>
    <t>90% en los 6 primeros meses</t>
  </si>
  <si>
    <t>LOPDP Art. 7</t>
  </si>
  <si>
    <t>ID-005</t>
  </si>
  <si>
    <t>Inseguridad en la red de comunicación</t>
  </si>
  <si>
    <t>Exposición de datos bancarios y vulnerabilidad a ataques man-in-the-middle (MITM).</t>
  </si>
  <si>
    <t>Seguridad en la Red</t>
  </si>
  <si>
    <t>Protección de redes de comunicación</t>
  </si>
  <si>
    <t>Uso de protocolos inseguros (HTTP en vez de HTTPS)</t>
  </si>
  <si>
    <t>Implementación de HTTPS y cifrado SSL.</t>
  </si>
  <si>
    <t>Reforzar la seguridad de la red e implementar protocolos seguros de comunicación.</t>
  </si>
  <si>
    <t>$25,000.00</t>
  </si>
  <si>
    <t>95% en los 6 primeros meses</t>
  </si>
  <si>
    <t>ISO 27001 A.13.1</t>
  </si>
  <si>
    <t>ID-006</t>
  </si>
  <si>
    <t>Fugas de información por errores humanos</t>
  </si>
  <si>
    <t>Exposición de información confidencial de clientes debido a errores operativos o negligencia.</t>
  </si>
  <si>
    <t>Gestión Operativa</t>
  </si>
  <si>
    <t>Gestión de Seguridad Interna</t>
  </si>
  <si>
    <t>Capacitación de Personal</t>
  </si>
  <si>
    <t>Falta de un plan de capacitación continua</t>
  </si>
  <si>
    <t>Programas de formación y auditorías internas periódicas.</t>
  </si>
  <si>
    <t>Implementar formación continua y auditorías internas.</t>
  </si>
  <si>
    <t>Disponibilidad del personal</t>
  </si>
  <si>
    <t>Recursos Humanos</t>
  </si>
  <si>
    <t>85% en los 3 primeros meses</t>
  </si>
  <si>
    <t>ID-007</t>
  </si>
  <si>
    <t>Caídas en el servicio de la app móvil</t>
  </si>
  <si>
    <t>Falta de disponibilidad, imposibilidad de realizar transacciones, pérdida de ingresos.</t>
  </si>
  <si>
    <t>Mantenimiento de Infraestructura</t>
  </si>
  <si>
    <t>Monitoreo de la Infraestructura</t>
  </si>
  <si>
    <t>Servidores no escalables o configurados adecuadamente</t>
  </si>
  <si>
    <t>Servicios de cloud computing escalables.</t>
  </si>
  <si>
    <t>Implementar infraestructura en la nube y pruebas de resiliencia.</t>
  </si>
  <si>
    <t>$40,000.00</t>
  </si>
  <si>
    <t>Costo de infraestructura</t>
  </si>
  <si>
    <t>ISO 27001 A.17.2.1</t>
  </si>
  <si>
    <t>ID-008</t>
  </si>
  <si>
    <t>Errores en la autenticación multifactor</t>
  </si>
  <si>
    <t>Acceso no autorizado a cuentas de usuarios legítimos, pérdida de fondos.</t>
  </si>
  <si>
    <t>Fallos en el proceso de verificación de MFA</t>
  </si>
  <si>
    <t>Revisión de sistemas MFA.</t>
  </si>
  <si>
    <t>Reforzar y revisar el proceso de autenticación multifactor.</t>
  </si>
  <si>
    <t>$15,000.00</t>
  </si>
  <si>
    <t>Limitaciones tecnológicas</t>
  </si>
  <si>
    <t>ISO 27001 A.9.4.2</t>
  </si>
  <si>
    <t>ID-009</t>
  </si>
  <si>
    <t>Problemas con la actualización de la aplicación</t>
  </si>
  <si>
    <t>Pérdida de funcionalidad, errores operativos, inconvenientes para los usuarios.</t>
  </si>
  <si>
    <t>Implementación de Actualizaciones</t>
  </si>
  <si>
    <t>Parches de software no instalados a tiempo</t>
  </si>
  <si>
    <t>M</t>
  </si>
  <si>
    <t>Parches regulares y pruebas de compatibilidad en todas las versiones.</t>
  </si>
  <si>
    <t>Implementar sistema de gestión de parches y versiones.</t>
  </si>
  <si>
    <t>$10,000.00</t>
  </si>
  <si>
    <t>ID-010</t>
  </si>
  <si>
    <t>Sobrecarga de tráfico en la app móvil</t>
  </si>
  <si>
    <t>Desempeño deficiente de la aplicación, interrumpiendo el acceso de los usuarios.</t>
  </si>
  <si>
    <t>Gestión de Servicios de IT</t>
  </si>
  <si>
    <t>Gestión de Tráfico en Línea</t>
  </si>
  <si>
    <t>Capacidad insuficiente para manejar altos volúmenes de tráfico</t>
  </si>
  <si>
    <t>Optimización de los servidores y balanceo de carga.</t>
  </si>
  <si>
    <t>Invertir en optimización de red y escalabilidad.</t>
  </si>
  <si>
    <t>Restricciones presupuestarias</t>
  </si>
  <si>
    <t>ISO 27001 A.17.1.3</t>
  </si>
  <si>
    <t>ID-011</t>
  </si>
  <si>
    <t>Problemas con la conectividad de red</t>
  </si>
  <si>
    <t>Interrupciones en el servicio, no se pueden realizar operaciones bancarias.</t>
  </si>
  <si>
    <t>Gestión de Infraestructura</t>
  </si>
  <si>
    <t>Redundancia de Red</t>
  </si>
  <si>
    <t>No existe redundancia en las conexiones de red</t>
  </si>
  <si>
    <t>Establecer redes redundantes y mejorar las conexiones.</t>
  </si>
  <si>
    <t>Invertir en infraestructura de red de alta disponibilidad.</t>
  </si>
  <si>
    <t>$60,000.00</t>
  </si>
  <si>
    <t>Costos de infraestructura</t>
  </si>
  <si>
    <t>90% en los 3 primeros meses</t>
  </si>
  <si>
    <t>ID-012</t>
  </si>
  <si>
    <t>Incumplimiento de normativas legales</t>
  </si>
  <si>
    <t>Multas y sanciones regulatorias, afectación a la reputación de la empresa.</t>
  </si>
  <si>
    <t>Gestión de Cumplimiento</t>
  </si>
  <si>
    <t>Cumplimiento Normativo</t>
  </si>
  <si>
    <t>Cumplimiento Legal</t>
  </si>
  <si>
    <t>Falta de auditorías regulares de cumplimiento</t>
  </si>
  <si>
    <t>Auditorías regulares y seguimiento a las normativas.</t>
  </si>
  <si>
    <t>Realizar auditorías legales internas y externas.</t>
  </si>
  <si>
    <t>Requiere aprobación legal</t>
  </si>
  <si>
    <t>Gerencia de Cumplimiento</t>
  </si>
  <si>
    <t>LOPDP, SB Res. 208-2018</t>
  </si>
  <si>
    <t>IMPACTO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</si>
</sst>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0"/>
      <name val="Calibri"/>
    </font>
    <font>
      <sz val="11"/>
      <color theme="1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4"/>
      </patternFill>
    </fill>
    <fill>
      <patternFill patternType="solid">
        <fgColor theme="3" tint="0.39997558519241921"/>
        <bgColor theme="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topLeftCell="AA1" zoomScale="115" zoomScaleNormal="115" workbookViewId="0">
      <selection activeCell="AD8" sqref="AD8"/>
    </sheetView>
  </sheetViews>
  <sheetFormatPr baseColWidth="10" defaultColWidth="8.88671875" defaultRowHeight="14.4" x14ac:dyDescent="0.3"/>
  <cols>
    <col min="1" max="1" width="6.44140625" style="1" bestFit="1" customWidth="1"/>
    <col min="2" max="2" width="20.21875" style="1" bestFit="1" customWidth="1"/>
    <col min="3" max="3" width="46" style="1" bestFit="1" customWidth="1"/>
    <col min="4" max="4" width="81.5546875" style="1" bestFit="1" customWidth="1"/>
    <col min="5" max="5" width="18.88671875" style="1" bestFit="1" customWidth="1"/>
    <col min="6" max="6" width="21.6640625" style="1" bestFit="1" customWidth="1"/>
    <col min="7" max="7" width="39.21875" style="1" bestFit="1" customWidth="1"/>
    <col min="8" max="8" width="31.77734375" style="1" bestFit="1" customWidth="1"/>
    <col min="9" max="9" width="15.77734375" style="1" bestFit="1" customWidth="1"/>
    <col min="10" max="10" width="25.6640625" style="1" bestFit="1" customWidth="1"/>
    <col min="11" max="11" width="53.33203125" style="1" bestFit="1" customWidth="1"/>
    <col min="12" max="12" width="18.33203125" style="1" bestFit="1" customWidth="1"/>
    <col min="13" max="13" width="4.33203125" style="1" bestFit="1" customWidth="1"/>
    <col min="14" max="14" width="3.77734375" style="1" bestFit="1" customWidth="1"/>
    <col min="15" max="15" width="4.44140625" style="1" bestFit="1" customWidth="1"/>
    <col min="16" max="16" width="15.5546875" style="1" customWidth="1"/>
    <col min="17" max="17" width="35.88671875" style="1" bestFit="1" customWidth="1"/>
    <col min="18" max="18" width="24.88671875" style="1" bestFit="1" customWidth="1"/>
    <col min="19" max="19" width="59.88671875" style="1" bestFit="1" customWidth="1"/>
    <col min="20" max="20" width="13.88671875" style="1" customWidth="1"/>
    <col min="21" max="21" width="12.33203125" style="1" customWidth="1"/>
    <col min="22" max="22" width="32.109375" style="1" bestFit="1" customWidth="1"/>
    <col min="23" max="23" width="27.5546875" style="1" bestFit="1" customWidth="1"/>
    <col min="24" max="24" width="69.77734375" style="1" bestFit="1" customWidth="1"/>
    <col min="25" max="25" width="12.44140625" style="1" bestFit="1" customWidth="1"/>
    <col min="26" max="26" width="30.6640625" style="1" bestFit="1" customWidth="1"/>
    <col min="27" max="27" width="33.33203125" style="1" bestFit="1" customWidth="1"/>
    <col min="28" max="28" width="24.109375" style="1" bestFit="1" customWidth="1"/>
    <col min="29" max="29" width="30.6640625" style="1" bestFit="1" customWidth="1"/>
    <col min="30" max="30" width="30.77734375" style="1" bestFit="1" customWidth="1"/>
    <col min="31" max="31" width="32.44140625" style="1" bestFit="1" customWidth="1"/>
    <col min="32" max="16384" width="8.88671875" style="1"/>
  </cols>
  <sheetData>
    <row r="1" spans="1:3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7" t="s">
        <v>176</v>
      </c>
      <c r="N1" s="8"/>
      <c r="O1" s="8"/>
      <c r="P1" s="9"/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</row>
    <row r="2" spans="1:31" x14ac:dyDescent="0.3">
      <c r="A2" s="3"/>
      <c r="B2" s="4"/>
      <c r="C2" s="4"/>
      <c r="D2" s="4"/>
      <c r="E2" s="5"/>
      <c r="F2" s="4"/>
      <c r="G2" s="5"/>
      <c r="H2" s="5"/>
      <c r="I2" s="5"/>
      <c r="J2" s="4"/>
      <c r="K2" s="5"/>
      <c r="L2" s="5"/>
      <c r="M2" s="4" t="s">
        <v>12</v>
      </c>
      <c r="N2" s="4" t="s">
        <v>13</v>
      </c>
      <c r="O2" s="4" t="s">
        <v>14</v>
      </c>
      <c r="P2" s="4" t="s">
        <v>15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5"/>
    </row>
    <row r="3" spans="1:31" x14ac:dyDescent="0.3">
      <c r="A3" s="2" t="s">
        <v>31</v>
      </c>
      <c r="B3" s="6">
        <v>45748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38</v>
      </c>
      <c r="M3" s="10">
        <v>1</v>
      </c>
      <c r="N3" s="10">
        <v>1</v>
      </c>
      <c r="O3" s="10">
        <v>1</v>
      </c>
      <c r="P3" s="2" t="s">
        <v>55</v>
      </c>
      <c r="Q3" s="2" t="s">
        <v>139</v>
      </c>
      <c r="R3" s="2">
        <v>2</v>
      </c>
      <c r="S3" s="2" t="s">
        <v>41</v>
      </c>
      <c r="T3" s="2">
        <v>1</v>
      </c>
      <c r="U3" s="2">
        <v>1</v>
      </c>
      <c r="V3" s="2">
        <f>R3/U3</f>
        <v>2</v>
      </c>
      <c r="W3" s="2" t="s">
        <v>42</v>
      </c>
      <c r="X3" s="2" t="s">
        <v>43</v>
      </c>
      <c r="Y3" s="2" t="s">
        <v>73</v>
      </c>
      <c r="Z3" s="2" t="s">
        <v>44</v>
      </c>
      <c r="AA3" s="2" t="s">
        <v>45</v>
      </c>
      <c r="AB3" s="2" t="s">
        <v>46</v>
      </c>
      <c r="AC3" s="2" t="s">
        <v>47</v>
      </c>
      <c r="AD3" s="2">
        <v>2</v>
      </c>
      <c r="AE3" s="2" t="s">
        <v>48</v>
      </c>
    </row>
    <row r="4" spans="1:31" x14ac:dyDescent="0.3">
      <c r="A4" s="2" t="s">
        <v>49</v>
      </c>
      <c r="B4" s="6">
        <v>45748</v>
      </c>
      <c r="C4" s="2" t="s">
        <v>50</v>
      </c>
      <c r="D4" s="2" t="s">
        <v>51</v>
      </c>
      <c r="E4" s="2" t="s">
        <v>34</v>
      </c>
      <c r="F4" s="2" t="s">
        <v>35</v>
      </c>
      <c r="G4" s="2" t="s">
        <v>52</v>
      </c>
      <c r="H4" s="2" t="s">
        <v>53</v>
      </c>
      <c r="I4" s="2" t="s">
        <v>38</v>
      </c>
      <c r="J4" s="2" t="s">
        <v>39</v>
      </c>
      <c r="K4" s="2" t="s">
        <v>54</v>
      </c>
      <c r="L4" s="2" t="s">
        <v>38</v>
      </c>
      <c r="M4" s="10">
        <v>2</v>
      </c>
      <c r="N4" s="10">
        <v>2</v>
      </c>
      <c r="O4" s="10">
        <v>1</v>
      </c>
      <c r="P4" s="2" t="s">
        <v>139</v>
      </c>
      <c r="Q4" s="2" t="s">
        <v>139</v>
      </c>
      <c r="R4" s="2">
        <v>3</v>
      </c>
      <c r="S4" s="2" t="s">
        <v>56</v>
      </c>
      <c r="T4" s="2">
        <v>2</v>
      </c>
      <c r="U4" s="2">
        <v>2</v>
      </c>
      <c r="V4" s="2">
        <f t="shared" ref="V4:V14" si="0">R4/U4</f>
        <v>1.5</v>
      </c>
      <c r="W4" s="2" t="s">
        <v>57</v>
      </c>
      <c r="X4" s="2" t="s">
        <v>58</v>
      </c>
      <c r="Y4" s="2" t="s">
        <v>73</v>
      </c>
      <c r="Z4" s="2" t="s">
        <v>59</v>
      </c>
      <c r="AA4" s="2" t="s">
        <v>60</v>
      </c>
      <c r="AB4" s="2" t="s">
        <v>61</v>
      </c>
      <c r="AC4" s="2" t="s">
        <v>62</v>
      </c>
      <c r="AD4" s="2">
        <v>1.5</v>
      </c>
      <c r="AE4" s="2" t="s">
        <v>63</v>
      </c>
    </row>
    <row r="5" spans="1:31" x14ac:dyDescent="0.3">
      <c r="A5" s="2" t="s">
        <v>64</v>
      </c>
      <c r="B5" s="6">
        <v>45748</v>
      </c>
      <c r="C5" s="2" t="s">
        <v>65</v>
      </c>
      <c r="D5" s="2" t="s">
        <v>66</v>
      </c>
      <c r="E5" s="2" t="s">
        <v>34</v>
      </c>
      <c r="F5" s="2" t="s">
        <v>67</v>
      </c>
      <c r="G5" s="2" t="s">
        <v>68</v>
      </c>
      <c r="H5" s="2" t="s">
        <v>69</v>
      </c>
      <c r="I5" s="2" t="s">
        <v>38</v>
      </c>
      <c r="J5" s="2" t="s">
        <v>39</v>
      </c>
      <c r="K5" s="2" t="s">
        <v>70</v>
      </c>
      <c r="L5" s="2" t="s">
        <v>38</v>
      </c>
      <c r="M5" s="10">
        <v>2</v>
      </c>
      <c r="N5" s="10">
        <v>3</v>
      </c>
      <c r="O5" s="10">
        <v>1</v>
      </c>
      <c r="P5" s="2" t="s">
        <v>139</v>
      </c>
      <c r="Q5" s="2" t="s">
        <v>139</v>
      </c>
      <c r="R5" s="2">
        <v>3</v>
      </c>
      <c r="S5" s="2" t="s">
        <v>71</v>
      </c>
      <c r="T5" s="2">
        <v>2</v>
      </c>
      <c r="U5" s="2">
        <v>2</v>
      </c>
      <c r="V5" s="2">
        <f t="shared" si="0"/>
        <v>1.5</v>
      </c>
      <c r="W5" s="2" t="s">
        <v>57</v>
      </c>
      <c r="X5" s="2" t="s">
        <v>72</v>
      </c>
      <c r="Y5" s="2" t="s">
        <v>73</v>
      </c>
      <c r="Z5" s="2" t="s">
        <v>74</v>
      </c>
      <c r="AA5" s="2" t="s">
        <v>75</v>
      </c>
      <c r="AB5" s="2" t="s">
        <v>76</v>
      </c>
      <c r="AC5" s="2" t="s">
        <v>77</v>
      </c>
      <c r="AD5" s="2">
        <v>1.5</v>
      </c>
      <c r="AE5" s="2" t="s">
        <v>78</v>
      </c>
    </row>
    <row r="6" spans="1:31" x14ac:dyDescent="0.3">
      <c r="A6" s="2" t="s">
        <v>79</v>
      </c>
      <c r="B6" s="6">
        <v>45748</v>
      </c>
      <c r="C6" s="2" t="s">
        <v>80</v>
      </c>
      <c r="D6" s="2" t="s">
        <v>81</v>
      </c>
      <c r="E6" s="2" t="s">
        <v>34</v>
      </c>
      <c r="F6" s="2" t="s">
        <v>35</v>
      </c>
      <c r="G6" s="2" t="s">
        <v>82</v>
      </c>
      <c r="H6" s="2" t="s">
        <v>83</v>
      </c>
      <c r="I6" s="2" t="s">
        <v>38</v>
      </c>
      <c r="J6" s="2" t="s">
        <v>39</v>
      </c>
      <c r="K6" s="2" t="s">
        <v>84</v>
      </c>
      <c r="L6" s="2" t="s">
        <v>38</v>
      </c>
      <c r="M6" s="10">
        <v>1</v>
      </c>
      <c r="N6" s="10">
        <v>1</v>
      </c>
      <c r="O6" s="10">
        <v>2</v>
      </c>
      <c r="P6" s="2" t="s">
        <v>55</v>
      </c>
      <c r="Q6" s="2" t="s">
        <v>139</v>
      </c>
      <c r="R6" s="2">
        <v>2</v>
      </c>
      <c r="S6" s="2" t="s">
        <v>85</v>
      </c>
      <c r="T6" s="2">
        <v>1</v>
      </c>
      <c r="U6" s="2">
        <v>1</v>
      </c>
      <c r="V6" s="2">
        <f t="shared" si="0"/>
        <v>2</v>
      </c>
      <c r="W6" s="2" t="s">
        <v>42</v>
      </c>
      <c r="X6" s="2" t="s">
        <v>86</v>
      </c>
      <c r="Y6" s="2" t="s">
        <v>73</v>
      </c>
      <c r="Z6" s="2" t="s">
        <v>87</v>
      </c>
      <c r="AA6" s="2" t="s">
        <v>88</v>
      </c>
      <c r="AB6" s="2" t="s">
        <v>61</v>
      </c>
      <c r="AC6" s="2" t="s">
        <v>89</v>
      </c>
      <c r="AD6" s="2">
        <v>2</v>
      </c>
      <c r="AE6" s="2" t="s">
        <v>90</v>
      </c>
    </row>
    <row r="7" spans="1:31" x14ac:dyDescent="0.3">
      <c r="A7" s="2" t="s">
        <v>91</v>
      </c>
      <c r="B7" s="6">
        <v>45748</v>
      </c>
      <c r="C7" s="2" t="s">
        <v>92</v>
      </c>
      <c r="D7" s="2" t="s">
        <v>93</v>
      </c>
      <c r="E7" s="2" t="s">
        <v>34</v>
      </c>
      <c r="F7" s="2" t="s">
        <v>67</v>
      </c>
      <c r="G7" s="2" t="s">
        <v>94</v>
      </c>
      <c r="H7" s="2" t="s">
        <v>95</v>
      </c>
      <c r="I7" s="2" t="s">
        <v>38</v>
      </c>
      <c r="J7" s="2" t="s">
        <v>39</v>
      </c>
      <c r="K7" s="2" t="s">
        <v>96</v>
      </c>
      <c r="L7" s="2" t="s">
        <v>38</v>
      </c>
      <c r="M7" s="10">
        <v>2</v>
      </c>
      <c r="N7" s="10">
        <v>2</v>
      </c>
      <c r="O7" s="10">
        <v>3</v>
      </c>
      <c r="P7" s="2" t="s">
        <v>139</v>
      </c>
      <c r="Q7" s="2" t="s">
        <v>139</v>
      </c>
      <c r="R7" s="2">
        <v>3</v>
      </c>
      <c r="S7" s="2" t="s">
        <v>97</v>
      </c>
      <c r="T7" s="2">
        <v>2</v>
      </c>
      <c r="U7" s="2">
        <v>2</v>
      </c>
      <c r="V7" s="2">
        <f t="shared" si="0"/>
        <v>1.5</v>
      </c>
      <c r="W7" s="2" t="s">
        <v>57</v>
      </c>
      <c r="X7" s="2" t="s">
        <v>98</v>
      </c>
      <c r="Y7" s="2" t="s">
        <v>73</v>
      </c>
      <c r="Z7" s="2" t="s">
        <v>99</v>
      </c>
      <c r="AA7" s="2" t="s">
        <v>53</v>
      </c>
      <c r="AB7" s="2" t="s">
        <v>76</v>
      </c>
      <c r="AC7" s="2" t="s">
        <v>100</v>
      </c>
      <c r="AD7" s="2">
        <v>1.5</v>
      </c>
      <c r="AE7" s="2" t="s">
        <v>101</v>
      </c>
    </row>
    <row r="8" spans="1:31" x14ac:dyDescent="0.3">
      <c r="A8" s="2" t="s">
        <v>102</v>
      </c>
      <c r="B8" s="6">
        <v>45748</v>
      </c>
      <c r="C8" s="2" t="s">
        <v>103</v>
      </c>
      <c r="D8" s="2" t="s">
        <v>104</v>
      </c>
      <c r="E8" s="2" t="s">
        <v>34</v>
      </c>
      <c r="F8" s="2" t="s">
        <v>105</v>
      </c>
      <c r="G8" s="2" t="s">
        <v>106</v>
      </c>
      <c r="H8" s="2" t="s">
        <v>107</v>
      </c>
      <c r="I8" s="2" t="s">
        <v>38</v>
      </c>
      <c r="J8" s="2" t="s">
        <v>39</v>
      </c>
      <c r="K8" s="2" t="s">
        <v>108</v>
      </c>
      <c r="L8" s="2" t="s">
        <v>38</v>
      </c>
      <c r="M8" s="10">
        <v>2</v>
      </c>
      <c r="N8" s="10">
        <v>1</v>
      </c>
      <c r="O8" s="10">
        <v>1</v>
      </c>
      <c r="P8" s="2" t="s">
        <v>55</v>
      </c>
      <c r="Q8" s="2" t="s">
        <v>139</v>
      </c>
      <c r="R8" s="2">
        <v>2</v>
      </c>
      <c r="S8" s="2" t="s">
        <v>109</v>
      </c>
      <c r="T8" s="2">
        <v>1</v>
      </c>
      <c r="U8" s="2">
        <v>1</v>
      </c>
      <c r="V8" s="2">
        <f t="shared" si="0"/>
        <v>2</v>
      </c>
      <c r="W8" s="2" t="s">
        <v>42</v>
      </c>
      <c r="X8" s="2" t="s">
        <v>110</v>
      </c>
      <c r="Y8" s="2" t="s">
        <v>73</v>
      </c>
      <c r="Z8" s="2" t="s">
        <v>59</v>
      </c>
      <c r="AA8" s="2" t="s">
        <v>111</v>
      </c>
      <c r="AB8" s="2" t="s">
        <v>112</v>
      </c>
      <c r="AC8" s="2" t="s">
        <v>113</v>
      </c>
      <c r="AD8" s="2">
        <v>2</v>
      </c>
      <c r="AE8" s="2" t="s">
        <v>90</v>
      </c>
    </row>
    <row r="9" spans="1:31" x14ac:dyDescent="0.3">
      <c r="A9" s="2" t="s">
        <v>114</v>
      </c>
      <c r="B9" s="6">
        <v>45748</v>
      </c>
      <c r="C9" s="2" t="s">
        <v>115</v>
      </c>
      <c r="D9" s="2" t="s">
        <v>116</v>
      </c>
      <c r="E9" s="2" t="s">
        <v>34</v>
      </c>
      <c r="F9" s="2" t="s">
        <v>105</v>
      </c>
      <c r="G9" s="2" t="s">
        <v>117</v>
      </c>
      <c r="H9" s="2" t="s">
        <v>118</v>
      </c>
      <c r="I9" s="2" t="s">
        <v>38</v>
      </c>
      <c r="J9" s="2" t="s">
        <v>39</v>
      </c>
      <c r="K9" s="2" t="s">
        <v>119</v>
      </c>
      <c r="L9" s="2" t="s">
        <v>38</v>
      </c>
      <c r="M9" s="10">
        <v>2</v>
      </c>
      <c r="N9" s="10">
        <v>1</v>
      </c>
      <c r="O9" s="10">
        <v>2</v>
      </c>
      <c r="P9" s="2" t="s">
        <v>139</v>
      </c>
      <c r="Q9" s="2" t="s">
        <v>139</v>
      </c>
      <c r="R9" s="2">
        <v>3</v>
      </c>
      <c r="S9" s="2" t="s">
        <v>120</v>
      </c>
      <c r="T9" s="2">
        <v>2</v>
      </c>
      <c r="U9" s="2">
        <v>2</v>
      </c>
      <c r="V9" s="2">
        <f t="shared" si="0"/>
        <v>1.5</v>
      </c>
      <c r="W9" s="2" t="s">
        <v>57</v>
      </c>
      <c r="X9" s="2" t="s">
        <v>121</v>
      </c>
      <c r="Y9" s="2" t="s">
        <v>73</v>
      </c>
      <c r="Z9" s="2" t="s">
        <v>122</v>
      </c>
      <c r="AA9" s="2" t="s">
        <v>123</v>
      </c>
      <c r="AB9" s="2" t="s">
        <v>76</v>
      </c>
      <c r="AC9" s="2" t="s">
        <v>89</v>
      </c>
      <c r="AD9" s="2">
        <v>1.5</v>
      </c>
      <c r="AE9" s="2" t="s">
        <v>124</v>
      </c>
    </row>
    <row r="10" spans="1:31" x14ac:dyDescent="0.3">
      <c r="A10" s="2" t="s">
        <v>125</v>
      </c>
      <c r="B10" s="6">
        <v>45748</v>
      </c>
      <c r="C10" s="2" t="s">
        <v>126</v>
      </c>
      <c r="D10" s="2" t="s">
        <v>127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38</v>
      </c>
      <c r="J10" s="2" t="s">
        <v>39</v>
      </c>
      <c r="K10" s="2" t="s">
        <v>128</v>
      </c>
      <c r="L10" s="2" t="s">
        <v>38</v>
      </c>
      <c r="M10" s="10">
        <v>3</v>
      </c>
      <c r="N10" s="10">
        <v>2</v>
      </c>
      <c r="O10" s="10">
        <v>1</v>
      </c>
      <c r="P10" s="2" t="s">
        <v>139</v>
      </c>
      <c r="Q10" s="2" t="s">
        <v>139</v>
      </c>
      <c r="R10" s="2">
        <v>3</v>
      </c>
      <c r="S10" s="2" t="s">
        <v>129</v>
      </c>
      <c r="T10" s="2">
        <v>1</v>
      </c>
      <c r="U10" s="2">
        <v>1</v>
      </c>
      <c r="V10" s="2">
        <f t="shared" si="0"/>
        <v>3</v>
      </c>
      <c r="W10" s="2" t="s">
        <v>42</v>
      </c>
      <c r="X10" s="2" t="s">
        <v>130</v>
      </c>
      <c r="Y10" s="2" t="s">
        <v>73</v>
      </c>
      <c r="Z10" s="2" t="s">
        <v>131</v>
      </c>
      <c r="AA10" s="2" t="s">
        <v>132</v>
      </c>
      <c r="AB10" s="2" t="s">
        <v>46</v>
      </c>
      <c r="AC10" s="2" t="s">
        <v>89</v>
      </c>
      <c r="AD10" s="2">
        <v>3</v>
      </c>
      <c r="AE10" s="2" t="s">
        <v>133</v>
      </c>
    </row>
    <row r="11" spans="1:31" x14ac:dyDescent="0.3">
      <c r="A11" s="2" t="s">
        <v>134</v>
      </c>
      <c r="B11" s="6">
        <v>45748</v>
      </c>
      <c r="C11" s="2" t="s">
        <v>135</v>
      </c>
      <c r="D11" s="2" t="s">
        <v>136</v>
      </c>
      <c r="E11" s="2" t="s">
        <v>34</v>
      </c>
      <c r="F11" s="2" t="s">
        <v>67</v>
      </c>
      <c r="G11" s="2" t="s">
        <v>68</v>
      </c>
      <c r="H11" s="2" t="s">
        <v>137</v>
      </c>
      <c r="I11" s="2" t="s">
        <v>38</v>
      </c>
      <c r="J11" s="2" t="s">
        <v>39</v>
      </c>
      <c r="K11" s="2" t="s">
        <v>138</v>
      </c>
      <c r="L11" s="2" t="s">
        <v>38</v>
      </c>
      <c r="M11" s="10">
        <v>1</v>
      </c>
      <c r="N11" s="10">
        <v>1</v>
      </c>
      <c r="O11" s="10">
        <v>1</v>
      </c>
      <c r="P11" s="2" t="s">
        <v>55</v>
      </c>
      <c r="Q11" s="2" t="s">
        <v>139</v>
      </c>
      <c r="R11" s="2">
        <v>2</v>
      </c>
      <c r="S11" s="2" t="s">
        <v>140</v>
      </c>
      <c r="T11" s="2">
        <v>2</v>
      </c>
      <c r="U11" s="2">
        <v>2</v>
      </c>
      <c r="V11" s="2">
        <f t="shared" si="0"/>
        <v>1</v>
      </c>
      <c r="W11" s="2" t="s">
        <v>57</v>
      </c>
      <c r="X11" s="2" t="s">
        <v>141</v>
      </c>
      <c r="Y11" s="2" t="s">
        <v>73</v>
      </c>
      <c r="Z11" s="2" t="s">
        <v>142</v>
      </c>
      <c r="AA11" s="2" t="s">
        <v>75</v>
      </c>
      <c r="AB11" s="2" t="s">
        <v>76</v>
      </c>
      <c r="AC11" s="2" t="s">
        <v>47</v>
      </c>
      <c r="AD11" s="2">
        <v>1</v>
      </c>
      <c r="AE11" s="2" t="s">
        <v>78</v>
      </c>
    </row>
    <row r="12" spans="1:31" x14ac:dyDescent="0.3">
      <c r="A12" s="2" t="s">
        <v>143</v>
      </c>
      <c r="B12" s="6">
        <v>45748</v>
      </c>
      <c r="C12" s="2" t="s">
        <v>144</v>
      </c>
      <c r="D12" s="2" t="s">
        <v>145</v>
      </c>
      <c r="E12" s="2" t="s">
        <v>34</v>
      </c>
      <c r="F12" s="2" t="s">
        <v>105</v>
      </c>
      <c r="G12" s="2" t="s">
        <v>146</v>
      </c>
      <c r="H12" s="2" t="s">
        <v>147</v>
      </c>
      <c r="I12" s="2" t="s">
        <v>38</v>
      </c>
      <c r="J12" s="2" t="s">
        <v>39</v>
      </c>
      <c r="K12" s="2" t="s">
        <v>148</v>
      </c>
      <c r="L12" s="2" t="s">
        <v>38</v>
      </c>
      <c r="M12" s="10">
        <v>2</v>
      </c>
      <c r="N12" s="10">
        <v>1</v>
      </c>
      <c r="O12" s="10">
        <v>3</v>
      </c>
      <c r="P12" s="2" t="s">
        <v>139</v>
      </c>
      <c r="Q12" s="2" t="s">
        <v>139</v>
      </c>
      <c r="R12" s="2">
        <v>3</v>
      </c>
      <c r="S12" s="2" t="s">
        <v>149</v>
      </c>
      <c r="T12" s="2">
        <v>2</v>
      </c>
      <c r="U12" s="2">
        <v>2</v>
      </c>
      <c r="V12" s="2">
        <f t="shared" si="0"/>
        <v>1.5</v>
      </c>
      <c r="W12" s="2" t="s">
        <v>42</v>
      </c>
      <c r="X12" s="2" t="s">
        <v>150</v>
      </c>
      <c r="Y12" s="2" t="s">
        <v>73</v>
      </c>
      <c r="Z12" s="2" t="s">
        <v>44</v>
      </c>
      <c r="AA12" s="2" t="s">
        <v>151</v>
      </c>
      <c r="AB12" s="2" t="s">
        <v>76</v>
      </c>
      <c r="AC12" s="2" t="s">
        <v>113</v>
      </c>
      <c r="AD12" s="2">
        <v>1.5</v>
      </c>
      <c r="AE12" s="2" t="s">
        <v>152</v>
      </c>
    </row>
    <row r="13" spans="1:31" x14ac:dyDescent="0.3">
      <c r="A13" s="2" t="s">
        <v>153</v>
      </c>
      <c r="B13" s="6">
        <v>45748</v>
      </c>
      <c r="C13" s="2" t="s">
        <v>154</v>
      </c>
      <c r="D13" s="2" t="s">
        <v>155</v>
      </c>
      <c r="E13" s="2" t="s">
        <v>34</v>
      </c>
      <c r="F13" s="2" t="s">
        <v>67</v>
      </c>
      <c r="G13" s="2" t="s">
        <v>156</v>
      </c>
      <c r="H13" s="2" t="s">
        <v>157</v>
      </c>
      <c r="I13" s="2" t="s">
        <v>38</v>
      </c>
      <c r="J13" s="2" t="s">
        <v>39</v>
      </c>
      <c r="K13" s="2" t="s">
        <v>158</v>
      </c>
      <c r="L13" s="2" t="s">
        <v>38</v>
      </c>
      <c r="M13" s="10">
        <v>2</v>
      </c>
      <c r="N13" s="10">
        <v>1</v>
      </c>
      <c r="O13" s="10">
        <v>2</v>
      </c>
      <c r="P13" s="2" t="s">
        <v>139</v>
      </c>
      <c r="Q13" s="2" t="s">
        <v>139</v>
      </c>
      <c r="R13" s="2">
        <v>3</v>
      </c>
      <c r="S13" s="2" t="s">
        <v>159</v>
      </c>
      <c r="T13" s="2">
        <v>3</v>
      </c>
      <c r="U13" s="2">
        <v>3</v>
      </c>
      <c r="V13" s="2">
        <f t="shared" si="0"/>
        <v>1</v>
      </c>
      <c r="W13" s="2" t="s">
        <v>42</v>
      </c>
      <c r="X13" s="2" t="s">
        <v>160</v>
      </c>
      <c r="Y13" s="2" t="s">
        <v>73</v>
      </c>
      <c r="Z13" s="2" t="s">
        <v>161</v>
      </c>
      <c r="AA13" s="2" t="s">
        <v>162</v>
      </c>
      <c r="AB13" s="2" t="s">
        <v>46</v>
      </c>
      <c r="AC13" s="2" t="s">
        <v>163</v>
      </c>
      <c r="AD13" s="2">
        <v>1</v>
      </c>
      <c r="AE13" s="2" t="s">
        <v>101</v>
      </c>
    </row>
    <row r="14" spans="1:31" x14ac:dyDescent="0.3">
      <c r="A14" s="2" t="s">
        <v>164</v>
      </c>
      <c r="B14" s="6">
        <v>45748</v>
      </c>
      <c r="C14" s="2" t="s">
        <v>165</v>
      </c>
      <c r="D14" s="2" t="s">
        <v>166</v>
      </c>
      <c r="E14" s="2" t="s">
        <v>34</v>
      </c>
      <c r="F14" s="2" t="s">
        <v>167</v>
      </c>
      <c r="G14" s="2" t="s">
        <v>168</v>
      </c>
      <c r="H14" s="2" t="s">
        <v>169</v>
      </c>
      <c r="I14" s="2" t="s">
        <v>38</v>
      </c>
      <c r="J14" s="2" t="s">
        <v>39</v>
      </c>
      <c r="K14" s="2" t="s">
        <v>170</v>
      </c>
      <c r="L14" s="2" t="s">
        <v>38</v>
      </c>
      <c r="M14" s="10">
        <v>1</v>
      </c>
      <c r="N14" s="10">
        <v>3</v>
      </c>
      <c r="O14" s="10">
        <v>1</v>
      </c>
      <c r="P14" s="2" t="s">
        <v>55</v>
      </c>
      <c r="Q14" s="2" t="s">
        <v>139</v>
      </c>
      <c r="R14" s="2">
        <v>2</v>
      </c>
      <c r="S14" s="2" t="s">
        <v>171</v>
      </c>
      <c r="T14" s="2">
        <v>2</v>
      </c>
      <c r="U14" s="2">
        <v>2</v>
      </c>
      <c r="V14" s="2">
        <f t="shared" si="0"/>
        <v>1</v>
      </c>
      <c r="W14" s="2" t="s">
        <v>42</v>
      </c>
      <c r="X14" s="2" t="s">
        <v>172</v>
      </c>
      <c r="Y14" s="2" t="s">
        <v>73</v>
      </c>
      <c r="Z14" s="2" t="s">
        <v>74</v>
      </c>
      <c r="AA14" s="2" t="s">
        <v>173</v>
      </c>
      <c r="AB14" s="2" t="s">
        <v>174</v>
      </c>
      <c r="AC14" s="2" t="s">
        <v>89</v>
      </c>
      <c r="AD14" s="2">
        <v>1</v>
      </c>
      <c r="AE14" s="2" t="s">
        <v>175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M1:P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Kushiro Morales</cp:lastModifiedBy>
  <dcterms:created xsi:type="dcterms:W3CDTF">2025-06-29T16:36:39Z</dcterms:created>
  <dcterms:modified xsi:type="dcterms:W3CDTF">2025-06-30T02:31:33Z</dcterms:modified>
  <cp:category/>
</cp:coreProperties>
</file>